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matiaslander/Documents/Uni work/Year 3/Sem 1/Computational Methods and Modelling 3/Other/"/>
    </mc:Choice>
  </mc:AlternateContent>
  <xr:revisionPtr revIDLastSave="0" documentId="13_ncr:1_{C5A5747D-2EC0-CA4F-9105-51B82415DA20}" xr6:coauthVersionLast="47" xr6:coauthVersionMax="47" xr10:uidLastSave="{00000000-0000-0000-0000-000000000000}"/>
  <bookViews>
    <workbookView xWindow="0" yWindow="780" windowWidth="34200" windowHeight="1984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1" l="1"/>
  <c r="F17" i="11"/>
  <c r="F16" i="11"/>
  <c r="E16" i="11"/>
  <c r="Q1" i="11"/>
  <c r="F24" i="11"/>
  <c r="H7" i="11"/>
  <c r="E9" i="11" l="1"/>
  <c r="E24" i="11" s="1"/>
  <c r="E11" i="11" l="1"/>
  <c r="F11" i="11" s="1"/>
  <c r="E19" i="11"/>
  <c r="E10" i="11"/>
  <c r="F10" i="11" s="1"/>
  <c r="F9" i="11"/>
  <c r="I5" i="11"/>
  <c r="H30" i="11"/>
  <c r="H29" i="11"/>
  <c r="H25" i="11"/>
  <c r="H18" i="11"/>
  <c r="H12" i="11"/>
  <c r="H8" i="11"/>
  <c r="E21" i="11" l="1"/>
  <c r="E13" i="11"/>
  <c r="F19" i="11"/>
  <c r="E20" i="11"/>
  <c r="F20" i="11" s="1"/>
  <c r="H19" i="11"/>
  <c r="H9" i="11"/>
  <c r="I6" i="11"/>
  <c r="H20" i="11" l="1"/>
  <c r="F13" i="11"/>
  <c r="H10" i="11"/>
  <c r="J5" i="11"/>
  <c r="K5" i="11" s="1"/>
  <c r="L5" i="11" s="1"/>
  <c r="M5" i="11" s="1"/>
  <c r="N5" i="11" s="1"/>
  <c r="O5" i="11" s="1"/>
  <c r="P5" i="11" s="1"/>
  <c r="I4" i="11"/>
  <c r="E14" i="11" l="1"/>
  <c r="F14" i="11" s="1"/>
  <c r="E22" i="11" s="1"/>
  <c r="F22" i="11" s="1"/>
  <c r="H13" i="11"/>
  <c r="H11" i="11"/>
  <c r="P4" i="11"/>
  <c r="Q5" i="11"/>
  <c r="R5" i="11" s="1"/>
  <c r="S5" i="11" s="1"/>
  <c r="T5" i="11" s="1"/>
  <c r="U5" i="11" s="1"/>
  <c r="V5" i="11" s="1"/>
  <c r="W5" i="11" s="1"/>
  <c r="J6" i="11"/>
  <c r="E23" i="11" l="1"/>
  <c r="F23" i="11" s="1"/>
  <c r="E27" i="11"/>
  <c r="E15" i="11"/>
  <c r="F15" i="11" s="1"/>
  <c r="F21" i="11" s="1"/>
  <c r="H22" i="11" s="1"/>
  <c r="H14" i="11"/>
  <c r="H23" i="11"/>
  <c r="F26" i="11"/>
  <c r="F27" i="11" s="1"/>
  <c r="E28" i="11" s="1"/>
  <c r="F28" i="11" s="1"/>
  <c r="W4" i="11"/>
  <c r="X5" i="11"/>
  <c r="Y5" i="11" s="1"/>
  <c r="Z5" i="11" s="1"/>
  <c r="AA5" i="11" s="1"/>
  <c r="AB5" i="11" s="1"/>
  <c r="AC5" i="11" s="1"/>
  <c r="AD5" i="11" s="1"/>
  <c r="K6" i="11"/>
  <c r="H17" i="11" l="1"/>
  <c r="H15" i="11"/>
  <c r="H21" i="11"/>
  <c r="AE5" i="11"/>
  <c r="AF5" i="11" s="1"/>
  <c r="AG5" i="11" s="1"/>
  <c r="AH5" i="11" s="1"/>
  <c r="AI5" i="11" s="1"/>
  <c r="AJ5" i="11" s="1"/>
  <c r="AD4" i="11"/>
  <c r="L6" i="11"/>
  <c r="H26" i="11" l="1"/>
  <c r="H28" i="11"/>
  <c r="AK5" i="11"/>
  <c r="AL5" i="11" s="1"/>
  <c r="AM5" i="11" s="1"/>
  <c r="AN5" i="11" s="1"/>
  <c r="AO5" i="11" s="1"/>
  <c r="AP5" i="11" s="1"/>
  <c r="AQ5" i="11" s="1"/>
  <c r="M6" i="11"/>
  <c r="H27" i="11" l="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<sst xmlns="http://schemas.openxmlformats.org/spreadsheetml/2006/main" count="63" uniqueCount="54">
  <si>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</si>
  <si>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</si>
  <si>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</si>
  <si>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</si>
  <si>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</si>
  <si>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</si>
  <si>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</si>
  <si>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</si>
  <si>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</si>
  <si>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</si>
  <si>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</si>
  <si>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</si>
  <si>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</si>
  <si>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</si>
  <si>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</si>
  <si>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</si>
  <si>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</si>
  <si>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</si>
  <si>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</si>
  <si>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</si>
  <si>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</si>
  <si>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</si>
  <si>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</si>
  <si>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Group 6</t>
  </si>
  <si>
    <t>Establishing framework</t>
  </si>
  <si>
    <t>Coding</t>
  </si>
  <si>
    <t>Report Write up</t>
  </si>
  <si>
    <t>Finalizing + submitting</t>
  </si>
  <si>
    <t>Find a location</t>
  </si>
  <si>
    <t>Establish mathematical equations necessary for ODE modelling</t>
  </si>
  <si>
    <t>Define and write up all the variables used on Spyder</t>
  </si>
  <si>
    <t>Code the regression model to create a continuous function from a discrete dataset</t>
  </si>
  <si>
    <t>Write up the ODE's in Python using previously established parameters + framework</t>
  </si>
  <si>
    <t>Integrate root-finding loop to the code to reiterate optimization</t>
  </si>
  <si>
    <t>Go through and comment/improve redability to make it easily accessible for markers</t>
  </si>
  <si>
    <t>Write up introduction</t>
  </si>
  <si>
    <t>Write up System Overview</t>
  </si>
  <si>
    <t>Write up Mathematical Modelling and Numerical Methods</t>
  </si>
  <si>
    <t>Write up Design Analysis</t>
  </si>
  <si>
    <t>Write up Conclusions</t>
  </si>
  <si>
    <t>Collate and create references list</t>
  </si>
  <si>
    <t>Review coding (go through and comment in detail for better clarity)</t>
  </si>
  <si>
    <t>Proofread and implement minor adjustments to the report</t>
  </si>
  <si>
    <t>Ensure page limit is met, and project is ready to submit</t>
  </si>
  <si>
    <t xml:space="preserve">CMM 3 Design </t>
  </si>
  <si>
    <t>Matias</t>
  </si>
  <si>
    <t>Abby</t>
  </si>
  <si>
    <t>Jinxuan</t>
  </si>
  <si>
    <t>Campbell</t>
  </si>
  <si>
    <t>Sandy</t>
  </si>
  <si>
    <t>Create ReadMe File</t>
  </si>
  <si>
    <t>Everyone</t>
  </si>
  <si>
    <t>Sandy + Jinxuan</t>
  </si>
  <si>
    <t>Matias + Jinxuan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</si>
</sst>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000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1" applyFont="1" applyFill="1" applyBorder="1" applyAlignment="1">
      <alignment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164" fontId="19" fillId="4" borderId="5" xfId="10" applyFont="1" applyFill="1" applyBorder="1">
      <alignment horizontal="center" vertical="center"/>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1" applyFont="1" applyFill="1" applyBorder="1" applyAlignment="1">
      <alignment vertical="center"/>
    </xf>
    <xf numFmtId="164" fontId="19" fillId="5" borderId="8" xfId="10" applyFont="1" applyFill="1" applyBorder="1">
      <alignment horizontal="center" vertical="center"/>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1" applyFont="1" applyFill="1" applyBorder="1" applyAlignment="1">
      <alignment vertical="center"/>
    </xf>
    <xf numFmtId="164" fontId="19" fillId="10" borderId="9" xfId="10" applyFont="1" applyFill="1" applyBorder="1">
      <alignment horizontal="center" vertical="center"/>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26" fillId="0" borderId="0" xfId="6" applyFont="1" applyAlignment="1">
      <alignment horizontal="left" vertical="center" wrapText="1"/>
    </xf>
    <xf numFmtId="0" fontId="18" fillId="0" borderId="0" xfId="0" applyFont="1" applyAlignment="1">
      <alignment horizontal="left" wrapText="1"/>
    </xf>
    <xf numFmtId="0" fontId="1" fillId="0" borderId="0" xfId="1" applyFont="1" applyAlignment="1" applyProtection="1">
      <alignment horizontal="left" vertical="top" wrapText="1"/>
    </xf>
    <xf numFmtId="0" fontId="23" fillId="6" borderId="0" xfId="0" applyFont="1" applyFill="1" applyAlignment="1">
      <alignment horizontal="left" vertical="center" wrapText="1"/>
    </xf>
    <xf numFmtId="0" fontId="19" fillId="3" borderId="6" xfId="12" applyFont="1" applyFill="1" applyBorder="1" applyAlignment="1">
      <alignment horizontal="left" vertical="center" wrapText="1"/>
    </xf>
    <xf numFmtId="0" fontId="19" fillId="3" borderId="7" xfId="12" applyFont="1" applyFill="1" applyBorder="1" applyAlignment="1">
      <alignment horizontal="left" vertical="center" wrapText="1"/>
    </xf>
    <xf numFmtId="0" fontId="23" fillId="7" borderId="0" xfId="0" applyFont="1" applyFill="1" applyAlignment="1">
      <alignment horizontal="left" vertical="center" wrapText="1"/>
    </xf>
    <xf numFmtId="0" fontId="19" fillId="4" borderId="5" xfId="12" applyFont="1" applyFill="1" applyBorder="1" applyAlignment="1">
      <alignment horizontal="left" vertical="center" wrapText="1"/>
    </xf>
    <xf numFmtId="0" fontId="23" fillId="8" borderId="0" xfId="0" applyFont="1" applyFill="1" applyAlignment="1">
      <alignment horizontal="left" vertical="center" wrapText="1"/>
    </xf>
    <xf numFmtId="0" fontId="19" fillId="5" borderId="8" xfId="12" applyFont="1" applyFill="1" applyBorder="1" applyAlignment="1">
      <alignment horizontal="left" vertical="center" wrapText="1"/>
    </xf>
    <xf numFmtId="0" fontId="23" fillId="9" borderId="0" xfId="0" applyFont="1" applyFill="1" applyAlignment="1">
      <alignment horizontal="left" vertical="center" wrapText="1"/>
    </xf>
    <xf numFmtId="0" fontId="19" fillId="10" borderId="9" xfId="12" applyFont="1" applyFill="1" applyBorder="1" applyAlignment="1">
      <alignment horizontal="left" vertical="center" wrapText="1"/>
    </xf>
    <xf numFmtId="0" fontId="19" fillId="0" borderId="0" xfId="12" applyFont="1" applyBorder="1" applyAlignment="1">
      <alignment horizontal="left" vertical="center" wrapText="1"/>
    </xf>
    <xf numFmtId="0" fontId="24" fillId="2" borderId="0" xfId="0" applyFont="1" applyFill="1" applyAlignment="1">
      <alignment horizontal="left" vertical="center" wrapText="1"/>
    </xf>
    <xf numFmtId="0" fontId="0" fillId="0" borderId="0" xfId="0" applyAlignment="1">
      <alignment wrapText="1"/>
    </xf>
    <xf numFmtId="0" fontId="0" fillId="13" borderId="0" xfId="0" applyFill="1"/>
    <xf numFmtId="167" fontId="21" fillId="13" borderId="20" xfId="0" applyNumberFormat="1" applyFont="1" applyFill="1" applyBorder="1" applyAlignment="1">
      <alignment horizontal="center" vertical="center"/>
    </xf>
    <xf numFmtId="0" fontId="22" fillId="13" borderId="14" xfId="0" applyFont="1" applyFill="1" applyBorder="1" applyAlignment="1">
      <alignment horizontal="center" vertical="center" shrinkToFit="1"/>
    </xf>
    <xf numFmtId="0" fontId="4" fillId="13" borderId="3" xfId="0" applyFont="1" applyFill="1" applyBorder="1" applyAlignment="1">
      <alignment vertical="center"/>
    </xf>
    <xf numFmtId="0" fontId="4" fillId="13" borderId="12" xfId="0" applyFont="1" applyFill="1" applyBorder="1" applyAlignment="1">
      <alignment vertical="center"/>
    </xf>
    <xf numFmtId="0" fontId="4" fillId="13" borderId="4" xfId="0" applyFont="1" applyFill="1" applyBorder="1" applyAlignment="1">
      <alignment vertical="center"/>
    </xf>
    <xf numFmtId="0" fontId="4" fillId="13" borderId="0" xfId="0" applyFont="1" applyFill="1" applyAlignment="1">
      <alignment vertical="center"/>
    </xf>
    <xf numFmtId="0" fontId="4" fillId="13" borderId="11" xfId="0" applyFont="1" applyFill="1" applyBorder="1" applyAlignment="1">
      <alignment vertical="center"/>
    </xf>
    <xf numFmtId="0" fontId="4" fillId="13" borderId="10" xfId="0" applyFont="1" applyFill="1" applyBorder="1" applyAlignment="1">
      <alignment vertical="center"/>
    </xf>
    <xf numFmtId="0" fontId="19" fillId="5" borderId="0" xfId="12" applyFont="1" applyFill="1" applyBorder="1" applyAlignment="1">
      <alignment horizontal="left" vertical="center" wrapText="1"/>
    </xf>
    <xf numFmtId="0" fontId="19" fillId="5" borderId="0" xfId="11" applyFont="1" applyFill="1" applyBorder="1" applyAlignment="1">
      <alignment vertical="center"/>
    </xf>
    <xf numFmtId="164" fontId="19" fillId="5" borderId="0" xfId="10" applyFont="1" applyFill="1" applyBorder="1">
      <alignment horizontal="center" vertical="center"/>
    </xf>
    <xf numFmtId="0" fontId="13" fillId="0" borderId="0" xfId="3" applyAlignment="1">
      <alignment wrapText="1"/>
    </xf>
    <xf numFmtId="0" fontId="20" fillId="11" borderId="16" xfId="0" applyFont="1" applyFill="1" applyBorder="1" applyAlignment="1">
      <alignment horizontal="left" vertical="center" wrapText="1"/>
    </xf>
    <xf numFmtId="0" fontId="4" fillId="2" borderId="21" xfId="0" applyFont="1" applyFill="1" applyBorder="1" applyAlignment="1">
      <alignment horizontal="left" wrapTex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topLeftCell="A8" zoomScale="125" zoomScaleNormal="100" zoomScalePageLayoutView="70" workbookViewId="0">
      <selection activeCell="O16" sqref="O16"/>
    </sheetView>
  </sheetViews>
  <sheetFormatPr baseColWidth="10" defaultColWidth="8.6640625" defaultRowHeight="30" customHeight="1" x14ac:dyDescent="0.15"/>
  <cols>
    <col min="1" max="1" width="2.6640625" style="13" customWidth="1"/>
    <col min="2" max="2" width="35.33203125" style="102"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53" width="2.6640625" customWidth="1"/>
    <col min="54" max="54" width="2.6640625" style="103" customWidth="1"/>
    <col min="55" max="65" width="2.6640625" customWidth="1"/>
  </cols>
  <sheetData>
    <row r="1" spans="1:64" ht="90" customHeight="1" x14ac:dyDescent="0.85">
      <c r="A1" s="14"/>
      <c r="B1" s="80" t="s">
        <v>44</v>
      </c>
      <c r="C1" s="18"/>
      <c r="D1" s="19"/>
      <c r="E1" s="20"/>
      <c r="F1" s="21"/>
      <c r="H1" s="1"/>
      <c r="I1" s="124" t="s">
        <v>20</v>
      </c>
      <c r="J1" s="125"/>
      <c r="K1" s="125"/>
      <c r="L1" s="125"/>
      <c r="M1" s="125"/>
      <c r="N1" s="125"/>
      <c r="O1" s="125"/>
      <c r="P1" s="24"/>
      <c r="Q1" s="123">
        <f>DATE(2025,10,8)</f>
        <v>45938</v>
      </c>
      <c r="R1" s="122"/>
      <c r="S1" s="122"/>
      <c r="T1" s="122"/>
      <c r="U1" s="122"/>
      <c r="V1" s="122"/>
      <c r="W1" s="122"/>
      <c r="X1" s="122"/>
      <c r="Y1" s="122"/>
      <c r="Z1" s="122"/>
      <c r="BB1"/>
    </row>
    <row r="2" spans="1:64" ht="30" customHeight="1" x14ac:dyDescent="0.4">
      <c r="B2" s="88" t="s">
        <v>23</v>
      </c>
      <c r="C2" s="79"/>
      <c r="D2" s="22"/>
      <c r="E2" s="23"/>
      <c r="F2" s="22"/>
      <c r="I2" s="124" t="s">
        <v>21</v>
      </c>
      <c r="J2" s="125"/>
      <c r="K2" s="125"/>
      <c r="L2" s="125"/>
      <c r="M2" s="125"/>
      <c r="N2" s="125"/>
      <c r="O2" s="125"/>
      <c r="P2" s="24"/>
      <c r="Q2" s="121">
        <v>1</v>
      </c>
      <c r="R2" s="122"/>
      <c r="S2" s="122"/>
      <c r="T2" s="122"/>
      <c r="U2" s="122"/>
      <c r="V2" s="122"/>
      <c r="W2" s="122"/>
      <c r="X2" s="122"/>
      <c r="Y2" s="122"/>
      <c r="Z2" s="122"/>
      <c r="BB2"/>
    </row>
    <row r="3" spans="1:64" s="25" customFormat="1" ht="30" customHeight="1" x14ac:dyDescent="0.15">
      <c r="A3" s="13"/>
      <c r="B3" s="89"/>
      <c r="D3" s="26"/>
      <c r="E3" s="27"/>
    </row>
    <row r="4" spans="1:64" s="25" customFormat="1" ht="30" customHeight="1" x14ac:dyDescent="0.15">
      <c r="A4" s="14"/>
      <c r="B4" s="90"/>
      <c r="E4" s="28"/>
      <c r="I4" s="128">
        <f>I5</f>
        <v>45936</v>
      </c>
      <c r="J4" s="126"/>
      <c r="K4" s="126"/>
      <c r="L4" s="126"/>
      <c r="M4" s="126"/>
      <c r="N4" s="126"/>
      <c r="O4" s="126"/>
      <c r="P4" s="126">
        <f>P5</f>
        <v>45943</v>
      </c>
      <c r="Q4" s="126"/>
      <c r="R4" s="126"/>
      <c r="S4" s="126"/>
      <c r="T4" s="126"/>
      <c r="U4" s="126"/>
      <c r="V4" s="126"/>
      <c r="W4" s="126">
        <f>W5</f>
        <v>45950</v>
      </c>
      <c r="X4" s="126"/>
      <c r="Y4" s="126"/>
      <c r="Z4" s="126"/>
      <c r="AA4" s="126"/>
      <c r="AB4" s="126"/>
      <c r="AC4" s="126"/>
      <c r="AD4" s="126">
        <f>AD5</f>
        <v>45957</v>
      </c>
      <c r="AE4" s="126"/>
      <c r="AF4" s="126"/>
      <c r="AG4" s="126"/>
      <c r="AH4" s="126"/>
      <c r="AI4" s="126"/>
      <c r="AJ4" s="126"/>
      <c r="AK4" s="126">
        <f>AK5</f>
        <v>45964</v>
      </c>
      <c r="AL4" s="126"/>
      <c r="AM4" s="126"/>
      <c r="AN4" s="126"/>
      <c r="AO4" s="126"/>
      <c r="AP4" s="126"/>
      <c r="AQ4" s="126"/>
      <c r="AR4" s="126">
        <f>AR5</f>
        <v>45971</v>
      </c>
      <c r="AS4" s="126"/>
      <c r="AT4" s="126"/>
      <c r="AU4" s="126"/>
      <c r="AV4" s="126"/>
      <c r="AW4" s="126"/>
      <c r="AX4" s="126"/>
      <c r="AY4" s="126">
        <f>AY5</f>
        <v>45978</v>
      </c>
      <c r="AZ4" s="126"/>
      <c r="BA4" s="126"/>
      <c r="BB4" s="126"/>
      <c r="BC4" s="126"/>
      <c r="BD4" s="126"/>
      <c r="BE4" s="126"/>
      <c r="BF4" s="126">
        <f>BF5</f>
        <v>45985</v>
      </c>
      <c r="BG4" s="126"/>
      <c r="BH4" s="126"/>
      <c r="BI4" s="126"/>
      <c r="BJ4" s="126"/>
      <c r="BK4" s="126"/>
      <c r="BL4" s="127"/>
    </row>
    <row r="5" spans="1:64" s="25" customFormat="1" ht="15" customHeight="1" x14ac:dyDescent="0.15">
      <c r="A5" s="115"/>
      <c r="B5" s="116" t="s">
        <v>5</v>
      </c>
      <c r="C5" s="118" t="s">
        <v>22</v>
      </c>
      <c r="D5" s="120" t="s">
        <v>1</v>
      </c>
      <c r="E5" s="120" t="s">
        <v>3</v>
      </c>
      <c r="F5" s="120" t="s">
        <v>4</v>
      </c>
      <c r="I5" s="29">
        <f>Project_Start-WEEKDAY(Project_Start,1)+2+7*(Display_Week-1)</f>
        <v>45936</v>
      </c>
      <c r="J5" s="29">
        <f>I5+1</f>
        <v>45937</v>
      </c>
      <c r="K5" s="29">
        <f t="shared" ref="K5:AX5" si="0">J5+1</f>
        <v>45938</v>
      </c>
      <c r="L5" s="29">
        <f t="shared" si="0"/>
        <v>45939</v>
      </c>
      <c r="M5" s="29">
        <f t="shared" si="0"/>
        <v>45940</v>
      </c>
      <c r="N5" s="29">
        <f t="shared" si="0"/>
        <v>45941</v>
      </c>
      <c r="O5" s="30">
        <f t="shared" si="0"/>
        <v>45942</v>
      </c>
      <c r="P5" s="31">
        <f>O5+1</f>
        <v>45943</v>
      </c>
      <c r="Q5" s="29">
        <f>P5+1</f>
        <v>45944</v>
      </c>
      <c r="R5" s="29">
        <f t="shared" si="0"/>
        <v>45945</v>
      </c>
      <c r="S5" s="29">
        <f t="shared" si="0"/>
        <v>45946</v>
      </c>
      <c r="T5" s="29">
        <f t="shared" si="0"/>
        <v>45947</v>
      </c>
      <c r="U5" s="29">
        <f t="shared" si="0"/>
        <v>45948</v>
      </c>
      <c r="V5" s="30">
        <f t="shared" si="0"/>
        <v>45949</v>
      </c>
      <c r="W5" s="31">
        <f>V5+1</f>
        <v>45950</v>
      </c>
      <c r="X5" s="29">
        <f>W5+1</f>
        <v>45951</v>
      </c>
      <c r="Y5" s="29">
        <f t="shared" si="0"/>
        <v>45952</v>
      </c>
      <c r="Z5" s="29">
        <f t="shared" si="0"/>
        <v>45953</v>
      </c>
      <c r="AA5" s="29">
        <f t="shared" si="0"/>
        <v>45954</v>
      </c>
      <c r="AB5" s="29">
        <f t="shared" si="0"/>
        <v>45955</v>
      </c>
      <c r="AC5" s="30">
        <f t="shared" si="0"/>
        <v>45956</v>
      </c>
      <c r="AD5" s="31">
        <f>AC5+1</f>
        <v>45957</v>
      </c>
      <c r="AE5" s="29">
        <f>AD5+1</f>
        <v>45958</v>
      </c>
      <c r="AF5" s="29">
        <f t="shared" si="0"/>
        <v>45959</v>
      </c>
      <c r="AG5" s="29">
        <f t="shared" si="0"/>
        <v>45960</v>
      </c>
      <c r="AH5" s="29">
        <f t="shared" si="0"/>
        <v>45961</v>
      </c>
      <c r="AI5" s="29">
        <f t="shared" si="0"/>
        <v>45962</v>
      </c>
      <c r="AJ5" s="30">
        <f t="shared" si="0"/>
        <v>45963</v>
      </c>
      <c r="AK5" s="31">
        <f>AJ5+1</f>
        <v>45964</v>
      </c>
      <c r="AL5" s="29">
        <f>AK5+1</f>
        <v>45965</v>
      </c>
      <c r="AM5" s="29">
        <f t="shared" si="0"/>
        <v>45966</v>
      </c>
      <c r="AN5" s="29">
        <f t="shared" si="0"/>
        <v>45967</v>
      </c>
      <c r="AO5" s="29">
        <f t="shared" si="0"/>
        <v>45968</v>
      </c>
      <c r="AP5" s="29">
        <f t="shared" si="0"/>
        <v>45969</v>
      </c>
      <c r="AQ5" s="30">
        <f t="shared" si="0"/>
        <v>45970</v>
      </c>
      <c r="AR5" s="31">
        <f>AQ5+1</f>
        <v>45971</v>
      </c>
      <c r="AS5" s="29">
        <f>AR5+1</f>
        <v>45972</v>
      </c>
      <c r="AT5" s="29">
        <f t="shared" si="0"/>
        <v>45973</v>
      </c>
      <c r="AU5" s="29">
        <f t="shared" si="0"/>
        <v>45974</v>
      </c>
      <c r="AV5" s="29">
        <f t="shared" si="0"/>
        <v>45975</v>
      </c>
      <c r="AW5" s="29">
        <f t="shared" si="0"/>
        <v>45976</v>
      </c>
      <c r="AX5" s="30">
        <f t="shared" si="0"/>
        <v>45977</v>
      </c>
      <c r="AY5" s="31">
        <f>AX5+1</f>
        <v>45978</v>
      </c>
      <c r="AZ5" s="29">
        <f>AY5+1</f>
        <v>45979</v>
      </c>
      <c r="BA5" s="29">
        <f t="shared" ref="BA5:BE5" si="1">AZ5+1</f>
        <v>45980</v>
      </c>
      <c r="BB5" s="104">
        <f t="shared" si="1"/>
        <v>45981</v>
      </c>
      <c r="BC5" s="29">
        <f t="shared" si="1"/>
        <v>45982</v>
      </c>
      <c r="BD5" s="29">
        <f t="shared" si="1"/>
        <v>45983</v>
      </c>
      <c r="BE5" s="30">
        <f t="shared" si="1"/>
        <v>45984</v>
      </c>
      <c r="BF5" s="31">
        <f>BE5+1</f>
        <v>45985</v>
      </c>
      <c r="BG5" s="29">
        <f>BF5+1</f>
        <v>45986</v>
      </c>
      <c r="BH5" s="29">
        <f t="shared" ref="BH5:BL5" si="2">BG5+1</f>
        <v>45987</v>
      </c>
      <c r="BI5" s="29">
        <f t="shared" si="2"/>
        <v>45988</v>
      </c>
      <c r="BJ5" s="29">
        <f t="shared" si="2"/>
        <v>45989</v>
      </c>
      <c r="BK5" s="29">
        <f t="shared" si="2"/>
        <v>45990</v>
      </c>
      <c r="BL5" s="29">
        <f t="shared" si="2"/>
        <v>45991</v>
      </c>
    </row>
    <row r="6" spans="1:64" s="25" customFormat="1" ht="15" customHeight="1" thickBot="1" x14ac:dyDescent="0.2">
      <c r="A6" s="115"/>
      <c r="B6" s="117"/>
      <c r="C6" s="119"/>
      <c r="D6" s="119"/>
      <c r="E6" s="119"/>
      <c r="F6" s="119"/>
      <c r="I6" s="32" t="str">
        <f t="shared" ref="I6:AN6" si="3">LEFT(TEXT(I5,"ddd"),1)</f>
        <v>M</v>
      </c>
      <c r="J6" s="33" t="str">
        <f t="shared" si="3"/>
        <v>T</v>
      </c>
      <c r="K6" s="33" t="str">
        <f t="shared" si="3"/>
        <v>W</v>
      </c>
      <c r="L6" s="33" t="str">
        <f t="shared" si="3"/>
        <v>T</v>
      </c>
      <c r="M6" s="33" t="str">
        <f t="shared" si="3"/>
        <v>F</v>
      </c>
      <c r="N6" s="33" t="str">
        <f t="shared" si="3"/>
        <v>S</v>
      </c>
      <c r="O6" s="33" t="str">
        <f t="shared" si="3"/>
        <v>S</v>
      </c>
      <c r="P6" s="33" t="str">
        <f t="shared" si="3"/>
        <v>M</v>
      </c>
      <c r="Q6" s="33" t="str">
        <f t="shared" si="3"/>
        <v>T</v>
      </c>
      <c r="R6" s="33" t="str">
        <f t="shared" si="3"/>
        <v>W</v>
      </c>
      <c r="S6" s="33" t="str">
        <f t="shared" si="3"/>
        <v>T</v>
      </c>
      <c r="T6" s="33" t="str">
        <f t="shared" si="3"/>
        <v>F</v>
      </c>
      <c r="U6" s="33" t="str">
        <f t="shared" si="3"/>
        <v>S</v>
      </c>
      <c r="V6" s="33" t="str">
        <f t="shared" si="3"/>
        <v>S</v>
      </c>
      <c r="W6" s="33" t="str">
        <f t="shared" si="3"/>
        <v>M</v>
      </c>
      <c r="X6" s="33" t="str">
        <f t="shared" si="3"/>
        <v>T</v>
      </c>
      <c r="Y6" s="33" t="str">
        <f t="shared" si="3"/>
        <v>W</v>
      </c>
      <c r="Z6" s="33" t="str">
        <f t="shared" si="3"/>
        <v>T</v>
      </c>
      <c r="AA6" s="33" t="str">
        <f t="shared" si="3"/>
        <v>F</v>
      </c>
      <c r="AB6" s="33" t="str">
        <f t="shared" si="3"/>
        <v>S</v>
      </c>
      <c r="AC6" s="33" t="str">
        <f t="shared" si="3"/>
        <v>S</v>
      </c>
      <c r="AD6" s="33" t="str">
        <f t="shared" si="3"/>
        <v>M</v>
      </c>
      <c r="AE6" s="33" t="str">
        <f t="shared" si="3"/>
        <v>T</v>
      </c>
      <c r="AF6" s="33" t="str">
        <f t="shared" si="3"/>
        <v>W</v>
      </c>
      <c r="AG6" s="33" t="str">
        <f t="shared" si="3"/>
        <v>T</v>
      </c>
      <c r="AH6" s="33" t="str">
        <f t="shared" si="3"/>
        <v>F</v>
      </c>
      <c r="AI6" s="33" t="str">
        <f t="shared" si="3"/>
        <v>S</v>
      </c>
      <c r="AJ6" s="33" t="str">
        <f t="shared" si="3"/>
        <v>S</v>
      </c>
      <c r="AK6" s="33" t="str">
        <f t="shared" si="3"/>
        <v>M</v>
      </c>
      <c r="AL6" s="33" t="str">
        <f t="shared" si="3"/>
        <v>T</v>
      </c>
      <c r="AM6" s="33" t="str">
        <f t="shared" si="3"/>
        <v>W</v>
      </c>
      <c r="AN6" s="33" t="str">
        <f t="shared" si="3"/>
        <v>T</v>
      </c>
      <c r="AO6" s="33" t="str">
        <f t="shared" ref="AO6:BL6" si="4">LEFT(TEXT(AO5,"ddd"),1)</f>
        <v>F</v>
      </c>
      <c r="AP6" s="33" t="str">
        <f t="shared" si="4"/>
        <v>S</v>
      </c>
      <c r="AQ6" s="33" t="str">
        <f t="shared" si="4"/>
        <v>S</v>
      </c>
      <c r="AR6" s="33" t="str">
        <f t="shared" si="4"/>
        <v>M</v>
      </c>
      <c r="AS6" s="33" t="str">
        <f t="shared" si="4"/>
        <v>T</v>
      </c>
      <c r="AT6" s="33" t="str">
        <f t="shared" si="4"/>
        <v>W</v>
      </c>
      <c r="AU6" s="33" t="str">
        <f t="shared" si="4"/>
        <v>T</v>
      </c>
      <c r="AV6" s="33" t="str">
        <f t="shared" si="4"/>
        <v>F</v>
      </c>
      <c r="AW6" s="33" t="str">
        <f t="shared" si="4"/>
        <v>S</v>
      </c>
      <c r="AX6" s="33" t="str">
        <f t="shared" si="4"/>
        <v>S</v>
      </c>
      <c r="AY6" s="33" t="str">
        <f t="shared" si="4"/>
        <v>M</v>
      </c>
      <c r="AZ6" s="33" t="str">
        <f t="shared" si="4"/>
        <v>T</v>
      </c>
      <c r="BA6" s="33" t="str">
        <f t="shared" si="4"/>
        <v>W</v>
      </c>
      <c r="BB6" s="105" t="str">
        <f t="shared" si="4"/>
        <v>T</v>
      </c>
      <c r="BC6" s="33" t="str">
        <f t="shared" si="4"/>
        <v>F</v>
      </c>
      <c r="BD6" s="33" t="str">
        <f t="shared" si="4"/>
        <v>S</v>
      </c>
      <c r="BE6" s="33" t="str">
        <f t="shared" si="4"/>
        <v>S</v>
      </c>
      <c r="BF6" s="33" t="str">
        <f t="shared" si="4"/>
        <v>M</v>
      </c>
      <c r="BG6" s="33" t="str">
        <f t="shared" si="4"/>
        <v>T</v>
      </c>
      <c r="BH6" s="33" t="str">
        <f t="shared" si="4"/>
        <v>W</v>
      </c>
      <c r="BI6" s="33" t="str">
        <f t="shared" si="4"/>
        <v>T</v>
      </c>
      <c r="BJ6" s="33" t="str">
        <f t="shared" si="4"/>
        <v>F</v>
      </c>
      <c r="BK6" s="33" t="str">
        <f t="shared" si="4"/>
        <v>S</v>
      </c>
      <c r="BL6" s="34" t="str">
        <f t="shared" si="4"/>
        <v>S</v>
      </c>
    </row>
    <row r="7" spans="1:64" s="25" customFormat="1" ht="30" hidden="1" customHeight="1" thickBot="1" x14ac:dyDescent="0.2">
      <c r="A7" s="13" t="s">
        <v>19</v>
      </c>
      <c r="B7" s="36"/>
      <c r="C7" s="36"/>
      <c r="D7" s="35"/>
      <c r="E7" s="35"/>
      <c r="F7" s="35"/>
      <c r="H7" s="25" t="str">
        <f>IF(OR(ISBLANK(task_start),ISBLANK(task_end)),"",task_end-task_start+1)</f>
        <v/>
      </c>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106"/>
      <c r="BC7" s="37"/>
      <c r="BD7" s="37"/>
      <c r="BE7" s="37"/>
      <c r="BF7" s="37"/>
      <c r="BG7" s="37"/>
      <c r="BH7" s="37"/>
      <c r="BI7" s="37"/>
      <c r="BJ7" s="37"/>
      <c r="BK7" s="37"/>
      <c r="BL7" s="37"/>
    </row>
    <row r="8" spans="1:64" s="43" customFormat="1" ht="30" customHeight="1" thickBot="1" x14ac:dyDescent="0.2">
      <c r="A8" s="14"/>
      <c r="B8" s="91" t="s">
        <v>24</v>
      </c>
      <c r="C8" s="38"/>
      <c r="D8" s="39"/>
      <c r="E8" s="40"/>
      <c r="F8" s="41"/>
      <c r="G8" s="17"/>
      <c r="H8" s="5" t="str">
        <f t="shared" ref="H8:H30" si="5">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107"/>
      <c r="BC8" s="42"/>
      <c r="BD8" s="42"/>
      <c r="BE8" s="42"/>
      <c r="BF8" s="42"/>
      <c r="BG8" s="42"/>
      <c r="BH8" s="42"/>
      <c r="BI8" s="42"/>
      <c r="BJ8" s="42"/>
      <c r="BK8" s="42"/>
      <c r="BL8" s="42"/>
    </row>
    <row r="9" spans="1:64" s="43" customFormat="1" ht="30" customHeight="1" thickBot="1" x14ac:dyDescent="0.2">
      <c r="A9" s="14"/>
      <c r="B9" s="92" t="s">
        <v>28</v>
      </c>
      <c r="C9" s="44" t="s">
        <v>48</v>
      </c>
      <c r="D9" s="45">
        <v>1</v>
      </c>
      <c r="E9" s="46">
        <f>Project_Start</f>
        <v>45938</v>
      </c>
      <c r="F9" s="46">
        <f>E9+5</f>
        <v>45943</v>
      </c>
      <c r="G9" s="17"/>
      <c r="H9" s="5">
        <f t="shared" si="5"/>
        <v>6</v>
      </c>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108"/>
      <c r="BC9" s="47"/>
      <c r="BD9" s="47"/>
      <c r="BE9" s="47"/>
      <c r="BF9" s="47"/>
      <c r="BG9" s="47"/>
      <c r="BH9" s="47"/>
      <c r="BI9" s="47"/>
      <c r="BJ9" s="47"/>
      <c r="BK9" s="47"/>
      <c r="BL9" s="47"/>
    </row>
    <row r="10" spans="1:64" s="43" customFormat="1" ht="30" customHeight="1" thickBot="1" x14ac:dyDescent="0.2">
      <c r="A10" s="14"/>
      <c r="B10" s="93" t="s">
        <v>29</v>
      </c>
      <c r="C10" s="48" t="s">
        <v>45</v>
      </c>
      <c r="D10" s="45">
        <v>1</v>
      </c>
      <c r="E10" s="49">
        <f>E9</f>
        <v>45938</v>
      </c>
      <c r="F10" s="49">
        <f>E10+7</f>
        <v>45945</v>
      </c>
      <c r="G10" s="17"/>
      <c r="H10" s="5">
        <f t="shared" si="5"/>
        <v>8</v>
      </c>
      <c r="I10" s="47"/>
      <c r="J10" s="47"/>
      <c r="K10" s="47"/>
      <c r="L10" s="47"/>
      <c r="M10" s="47"/>
      <c r="N10" s="47"/>
      <c r="O10" s="47"/>
      <c r="P10" s="47"/>
      <c r="Q10" s="47"/>
      <c r="R10" s="47"/>
      <c r="S10" s="47"/>
      <c r="T10" s="47"/>
      <c r="U10" s="50"/>
      <c r="V10" s="50"/>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108"/>
      <c r="BC10" s="47"/>
      <c r="BD10" s="47"/>
      <c r="BE10" s="47"/>
      <c r="BF10" s="47"/>
      <c r="BG10" s="47"/>
      <c r="BH10" s="47"/>
      <c r="BI10" s="47"/>
      <c r="BJ10" s="47"/>
      <c r="BK10" s="47"/>
      <c r="BL10" s="47"/>
    </row>
    <row r="11" spans="1:64" s="43" customFormat="1" ht="30" customHeight="1" thickBot="1" x14ac:dyDescent="0.2">
      <c r="A11" s="13"/>
      <c r="B11" s="93" t="s">
        <v>30</v>
      </c>
      <c r="C11" s="48" t="s">
        <v>46</v>
      </c>
      <c r="D11" s="45">
        <v>1</v>
      </c>
      <c r="E11" s="49">
        <f>E9</f>
        <v>45938</v>
      </c>
      <c r="F11" s="49">
        <f>E11+12</f>
        <v>45950</v>
      </c>
      <c r="G11" s="17"/>
      <c r="H11" s="5">
        <f t="shared" si="5"/>
        <v>13</v>
      </c>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108"/>
      <c r="BC11" s="47"/>
      <c r="BD11" s="47"/>
      <c r="BE11" s="47"/>
      <c r="BF11" s="47"/>
      <c r="BG11" s="47"/>
      <c r="BH11" s="47"/>
      <c r="BI11" s="47"/>
      <c r="BJ11" s="47"/>
      <c r="BK11" s="47"/>
      <c r="BL11" s="47"/>
    </row>
    <row r="12" spans="1:64" s="43" customFormat="1" ht="30" customHeight="1" thickBot="1" x14ac:dyDescent="0.2">
      <c r="A12" s="14"/>
      <c r="B12" s="94" t="s">
        <v>25</v>
      </c>
      <c r="C12" s="51"/>
      <c r="D12" s="52"/>
      <c r="E12" s="53"/>
      <c r="F12" s="54"/>
      <c r="G12" s="17"/>
      <c r="H12" s="5" t="str">
        <f t="shared" si="5"/>
        <v/>
      </c>
      <c r="BB12" s="109"/>
    </row>
    <row r="13" spans="1:64" s="43" customFormat="1" ht="30" customHeight="1" thickBot="1" x14ac:dyDescent="0.2">
      <c r="A13" s="14"/>
      <c r="B13" s="95" t="s">
        <v>31</v>
      </c>
      <c r="C13" s="55" t="s">
        <v>52</v>
      </c>
      <c r="D13" s="45">
        <v>1</v>
      </c>
      <c r="E13" s="56">
        <f>F10</f>
        <v>45945</v>
      </c>
      <c r="F13" s="56">
        <f>E13+7</f>
        <v>45952</v>
      </c>
      <c r="G13" s="17"/>
      <c r="H13" s="5">
        <f t="shared" si="5"/>
        <v>8</v>
      </c>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108"/>
      <c r="BC13" s="47"/>
      <c r="BD13" s="47"/>
      <c r="BE13" s="47"/>
      <c r="BF13" s="47"/>
      <c r="BG13" s="47"/>
      <c r="BH13" s="47"/>
      <c r="BI13" s="47"/>
      <c r="BJ13" s="47"/>
      <c r="BK13" s="47"/>
      <c r="BL13" s="47"/>
    </row>
    <row r="14" spans="1:64" s="43" customFormat="1" ht="42" customHeight="1" thickBot="1" x14ac:dyDescent="0.2">
      <c r="A14" s="13"/>
      <c r="B14" s="95" t="s">
        <v>32</v>
      </c>
      <c r="C14" s="55" t="s">
        <v>47</v>
      </c>
      <c r="D14" s="45">
        <v>1</v>
      </c>
      <c r="E14" s="56">
        <f>F13</f>
        <v>45952</v>
      </c>
      <c r="F14" s="56">
        <f>E14+12</f>
        <v>45964</v>
      </c>
      <c r="G14" s="17"/>
      <c r="H14" s="5">
        <f t="shared" si="5"/>
        <v>13</v>
      </c>
      <c r="I14" s="47"/>
      <c r="J14" s="47"/>
      <c r="K14" s="47"/>
      <c r="L14" s="47"/>
      <c r="M14" s="47"/>
      <c r="N14" s="47"/>
      <c r="O14" s="47"/>
      <c r="P14" s="47"/>
      <c r="Q14" s="47"/>
      <c r="R14" s="47"/>
      <c r="S14" s="47"/>
      <c r="T14" s="47"/>
      <c r="U14" s="50"/>
      <c r="V14" s="50"/>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108"/>
      <c r="BC14" s="47"/>
      <c r="BD14" s="47"/>
      <c r="BE14" s="47"/>
      <c r="BF14" s="47"/>
      <c r="BG14" s="47"/>
      <c r="BH14" s="47"/>
      <c r="BI14" s="47"/>
      <c r="BJ14" s="47"/>
      <c r="BK14" s="47"/>
      <c r="BL14" s="47"/>
    </row>
    <row r="15" spans="1:64" s="43" customFormat="1" ht="30" customHeight="1" thickBot="1" x14ac:dyDescent="0.2">
      <c r="A15" s="13"/>
      <c r="B15" s="95" t="s">
        <v>33</v>
      </c>
      <c r="C15" s="55" t="s">
        <v>46</v>
      </c>
      <c r="D15" s="45">
        <v>1</v>
      </c>
      <c r="E15" s="56">
        <f>F14</f>
        <v>45964</v>
      </c>
      <c r="F15" s="56">
        <f>E15+7</f>
        <v>45971</v>
      </c>
      <c r="G15" s="17"/>
      <c r="H15" s="5">
        <f t="shared" si="5"/>
        <v>8</v>
      </c>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108"/>
      <c r="BC15" s="47"/>
      <c r="BD15" s="47"/>
      <c r="BE15" s="47"/>
      <c r="BF15" s="47"/>
      <c r="BG15" s="47"/>
      <c r="BH15" s="47"/>
      <c r="BI15" s="47"/>
      <c r="BJ15" s="47"/>
      <c r="BK15" s="47"/>
      <c r="BL15" s="47"/>
    </row>
    <row r="16" spans="1:64" s="43" customFormat="1" ht="30" customHeight="1" thickBot="1" x14ac:dyDescent="0.2">
      <c r="A16" s="13"/>
      <c r="B16" s="95" t="s">
        <v>34</v>
      </c>
      <c r="C16" s="55" t="s">
        <v>53</v>
      </c>
      <c r="D16" s="45">
        <v>1</v>
      </c>
      <c r="E16" s="56">
        <f>E15</f>
        <v>45964</v>
      </c>
      <c r="F16" s="56">
        <f>E16+9</f>
        <v>45973</v>
      </c>
      <c r="G16" s="17"/>
      <c r="H16" s="5"/>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108"/>
      <c r="BC16" s="47"/>
      <c r="BD16" s="47"/>
      <c r="BE16" s="47"/>
      <c r="BF16" s="47"/>
      <c r="BG16" s="47"/>
      <c r="BH16" s="47"/>
      <c r="BI16" s="47"/>
      <c r="BJ16" s="47"/>
      <c r="BK16" s="47"/>
      <c r="BL16" s="47"/>
    </row>
    <row r="17" spans="1:64" s="43" customFormat="1" ht="30" customHeight="1" thickBot="1" x14ac:dyDescent="0.2">
      <c r="A17" s="13"/>
      <c r="B17" s="95" t="s">
        <v>50</v>
      </c>
      <c r="C17" s="55" t="s">
        <v>49</v>
      </c>
      <c r="D17" s="45">
        <v>1</v>
      </c>
      <c r="E17" s="56">
        <v>45971</v>
      </c>
      <c r="F17" s="56">
        <f>E17+9</f>
        <v>45980</v>
      </c>
      <c r="G17" s="17"/>
      <c r="H17" s="5">
        <f t="shared" si="5"/>
        <v>10</v>
      </c>
      <c r="I17" s="47"/>
      <c r="J17" s="47"/>
      <c r="K17" s="47"/>
      <c r="L17" s="47"/>
      <c r="M17" s="47"/>
      <c r="N17" s="47"/>
      <c r="O17" s="47"/>
      <c r="P17" s="47"/>
      <c r="Q17" s="47"/>
      <c r="R17" s="47"/>
      <c r="S17" s="47"/>
      <c r="T17" s="47"/>
      <c r="U17" s="47"/>
      <c r="V17" s="47"/>
      <c r="W17" s="47"/>
      <c r="X17" s="47"/>
      <c r="Y17" s="50"/>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108"/>
      <c r="BC17" s="47"/>
      <c r="BD17" s="47"/>
      <c r="BE17" s="47"/>
      <c r="BF17" s="47"/>
      <c r="BG17" s="47"/>
      <c r="BH17" s="47"/>
      <c r="BI17" s="47"/>
      <c r="BJ17" s="47"/>
      <c r="BK17" s="47"/>
      <c r="BL17" s="47"/>
    </row>
    <row r="18" spans="1:64" s="43" customFormat="1" ht="30" customHeight="1" thickBot="1" x14ac:dyDescent="0.2">
      <c r="A18" s="13"/>
      <c r="B18" s="96" t="s">
        <v>26</v>
      </c>
      <c r="C18" s="57"/>
      <c r="D18" s="58"/>
      <c r="E18" s="59"/>
      <c r="F18" s="60"/>
      <c r="G18" s="17"/>
      <c r="H18" s="5" t="str">
        <f t="shared" si="5"/>
        <v/>
      </c>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110"/>
      <c r="BC18" s="61"/>
      <c r="BD18" s="61"/>
      <c r="BE18" s="61"/>
      <c r="BF18" s="61"/>
      <c r="BG18" s="61"/>
      <c r="BH18" s="61"/>
      <c r="BI18" s="61"/>
      <c r="BJ18" s="61"/>
      <c r="BK18" s="61"/>
      <c r="BL18" s="61"/>
    </row>
    <row r="19" spans="1:64" s="43" customFormat="1" ht="30" customHeight="1" thickBot="1" x14ac:dyDescent="0.2">
      <c r="A19" s="13"/>
      <c r="B19" s="97" t="s">
        <v>35</v>
      </c>
      <c r="C19" s="62" t="s">
        <v>48</v>
      </c>
      <c r="D19" s="45">
        <v>1</v>
      </c>
      <c r="E19" s="63">
        <f>E9</f>
        <v>45938</v>
      </c>
      <c r="F19" s="63">
        <f>E19+14</f>
        <v>45952</v>
      </c>
      <c r="G19" s="17"/>
      <c r="H19" s="5">
        <f t="shared" si="5"/>
        <v>15</v>
      </c>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108"/>
      <c r="BC19" s="47"/>
      <c r="BD19" s="47"/>
      <c r="BE19" s="47"/>
      <c r="BF19" s="47"/>
      <c r="BG19" s="47"/>
      <c r="BH19" s="47"/>
      <c r="BI19" s="47"/>
      <c r="BJ19" s="47"/>
      <c r="BK19" s="47"/>
      <c r="BL19" s="47"/>
    </row>
    <row r="20" spans="1:64" s="43" customFormat="1" ht="30" customHeight="1" thickBot="1" x14ac:dyDescent="0.2">
      <c r="A20" s="13"/>
      <c r="B20" s="97" t="s">
        <v>36</v>
      </c>
      <c r="C20" s="62" t="s">
        <v>46</v>
      </c>
      <c r="D20" s="45">
        <v>1</v>
      </c>
      <c r="E20" s="63">
        <f>E19</f>
        <v>45938</v>
      </c>
      <c r="F20" s="63">
        <f>E20+14</f>
        <v>45952</v>
      </c>
      <c r="G20" s="17"/>
      <c r="H20" s="5">
        <f t="shared" si="5"/>
        <v>15</v>
      </c>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108"/>
      <c r="BC20" s="47"/>
      <c r="BD20" s="47"/>
      <c r="BE20" s="47"/>
      <c r="BF20" s="47"/>
      <c r="BG20" s="47"/>
      <c r="BH20" s="47"/>
      <c r="BI20" s="47"/>
      <c r="BJ20" s="47"/>
      <c r="BK20" s="47"/>
      <c r="BL20" s="47"/>
    </row>
    <row r="21" spans="1:64" s="43" customFormat="1" ht="30" customHeight="1" thickBot="1" x14ac:dyDescent="0.2">
      <c r="A21" s="13"/>
      <c r="B21" s="97" t="s">
        <v>37</v>
      </c>
      <c r="C21" s="62" t="s">
        <v>45</v>
      </c>
      <c r="D21" s="45">
        <v>1</v>
      </c>
      <c r="E21" s="63">
        <f>F10</f>
        <v>45945</v>
      </c>
      <c r="F21" s="63">
        <f>F15+2</f>
        <v>45973</v>
      </c>
      <c r="G21" s="17"/>
      <c r="H21" s="5">
        <f t="shared" si="5"/>
        <v>29</v>
      </c>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108"/>
      <c r="BC21" s="47"/>
      <c r="BD21" s="47"/>
      <c r="BE21" s="47"/>
      <c r="BF21" s="47"/>
      <c r="BG21" s="47"/>
      <c r="BH21" s="47"/>
      <c r="BI21" s="47"/>
      <c r="BJ21" s="47"/>
      <c r="BK21" s="47"/>
      <c r="BL21" s="47"/>
    </row>
    <row r="22" spans="1:64" s="43" customFormat="1" ht="30" customHeight="1" thickBot="1" x14ac:dyDescent="0.2">
      <c r="A22" s="13"/>
      <c r="B22" s="97" t="s">
        <v>38</v>
      </c>
      <c r="C22" s="62" t="s">
        <v>45</v>
      </c>
      <c r="D22" s="45">
        <v>1</v>
      </c>
      <c r="E22" s="63">
        <f>F14</f>
        <v>45964</v>
      </c>
      <c r="F22" s="63">
        <f>E22+9</f>
        <v>45973</v>
      </c>
      <c r="G22" s="17"/>
      <c r="H22" s="5">
        <f t="shared" si="5"/>
        <v>10</v>
      </c>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108"/>
      <c r="BC22" s="47"/>
      <c r="BD22" s="47"/>
      <c r="BE22" s="47"/>
      <c r="BF22" s="47"/>
      <c r="BG22" s="47"/>
      <c r="BH22" s="47"/>
      <c r="BI22" s="47"/>
      <c r="BJ22" s="47"/>
      <c r="BK22" s="47"/>
      <c r="BL22" s="47"/>
    </row>
    <row r="23" spans="1:64" s="43" customFormat="1" ht="30" customHeight="1" thickBot="1" x14ac:dyDescent="0.2">
      <c r="A23" s="13"/>
      <c r="B23" s="97" t="s">
        <v>39</v>
      </c>
      <c r="C23" s="62" t="s">
        <v>48</v>
      </c>
      <c r="D23" s="45">
        <v>1</v>
      </c>
      <c r="E23" s="63">
        <f>F22</f>
        <v>45973</v>
      </c>
      <c r="F23" s="63">
        <f>E23+5</f>
        <v>45978</v>
      </c>
      <c r="G23" s="17"/>
      <c r="H23" s="5">
        <f t="shared" si="5"/>
        <v>6</v>
      </c>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108"/>
      <c r="BC23" s="47"/>
      <c r="BD23" s="47"/>
      <c r="BE23" s="47"/>
      <c r="BF23" s="47"/>
      <c r="BG23" s="47"/>
      <c r="BH23" s="47"/>
      <c r="BI23" s="47"/>
      <c r="BJ23" s="47"/>
      <c r="BK23" s="47"/>
      <c r="BL23" s="47"/>
    </row>
    <row r="24" spans="1:64" s="43" customFormat="1" ht="30" customHeight="1" thickBot="1" x14ac:dyDescent="0.2">
      <c r="A24" s="13"/>
      <c r="B24" s="112" t="s">
        <v>40</v>
      </c>
      <c r="C24" s="113" t="s">
        <v>48</v>
      </c>
      <c r="D24" s="45">
        <v>1</v>
      </c>
      <c r="E24" s="114">
        <f>E9</f>
        <v>45938</v>
      </c>
      <c r="F24" s="114">
        <f>DATE(2025,11,19)</f>
        <v>45980</v>
      </c>
      <c r="G24" s="17"/>
      <c r="H24" s="5"/>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111"/>
      <c r="BC24" s="68"/>
      <c r="BD24" s="68"/>
      <c r="BE24" s="68"/>
      <c r="BF24" s="68"/>
      <c r="BG24" s="68"/>
      <c r="BH24" s="68"/>
      <c r="BI24" s="68"/>
      <c r="BJ24" s="68"/>
      <c r="BK24" s="68"/>
      <c r="BL24" s="68"/>
    </row>
    <row r="25" spans="1:64" s="43" customFormat="1" ht="30" customHeight="1" thickBot="1" x14ac:dyDescent="0.2">
      <c r="A25" s="13"/>
      <c r="B25" s="98" t="s">
        <v>27</v>
      </c>
      <c r="C25" s="64"/>
      <c r="D25" s="65"/>
      <c r="E25" s="66"/>
      <c r="F25" s="67"/>
      <c r="G25" s="17"/>
      <c r="H25" s="5" t="str">
        <f t="shared" si="5"/>
        <v/>
      </c>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111"/>
      <c r="BC25" s="68"/>
      <c r="BD25" s="68"/>
      <c r="BE25" s="68"/>
      <c r="BF25" s="68"/>
      <c r="BG25" s="68"/>
      <c r="BH25" s="68"/>
      <c r="BI25" s="68"/>
      <c r="BJ25" s="68"/>
      <c r="BK25" s="68"/>
      <c r="BL25" s="68"/>
    </row>
    <row r="26" spans="1:64" s="43" customFormat="1" ht="30" customHeight="1" thickBot="1" x14ac:dyDescent="0.2">
      <c r="A26" s="13"/>
      <c r="B26" s="99" t="s">
        <v>41</v>
      </c>
      <c r="C26" s="69" t="s">
        <v>47</v>
      </c>
      <c r="D26" s="45">
        <v>1</v>
      </c>
      <c r="E26" s="70">
        <f>F16</f>
        <v>45973</v>
      </c>
      <c r="F26" s="70">
        <f>E26+7</f>
        <v>45980</v>
      </c>
      <c r="G26" s="17"/>
      <c r="H26" s="5">
        <f t="shared" si="5"/>
        <v>8</v>
      </c>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108"/>
      <c r="BC26" s="47"/>
      <c r="BD26" s="47"/>
      <c r="BE26" s="47"/>
      <c r="BF26" s="47"/>
      <c r="BG26" s="47"/>
      <c r="BH26" s="47"/>
      <c r="BI26" s="47"/>
      <c r="BJ26" s="47"/>
      <c r="BK26" s="47"/>
      <c r="BL26" s="47"/>
    </row>
    <row r="27" spans="1:64" s="43" customFormat="1" ht="30" customHeight="1" thickBot="1" x14ac:dyDescent="0.2">
      <c r="A27" s="13"/>
      <c r="B27" s="99" t="s">
        <v>42</v>
      </c>
      <c r="C27" s="69" t="s">
        <v>46</v>
      </c>
      <c r="D27" s="45">
        <v>1</v>
      </c>
      <c r="E27" s="70">
        <f>F22</f>
        <v>45973</v>
      </c>
      <c r="F27" s="70">
        <f>F26</f>
        <v>45980</v>
      </c>
      <c r="G27" s="17"/>
      <c r="H27" s="5">
        <f t="shared" si="5"/>
        <v>8</v>
      </c>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108"/>
      <c r="BC27" s="47"/>
      <c r="BD27" s="47"/>
      <c r="BE27" s="47"/>
      <c r="BF27" s="47"/>
      <c r="BG27" s="47"/>
      <c r="BH27" s="47"/>
      <c r="BI27" s="47"/>
      <c r="BJ27" s="47"/>
      <c r="BK27" s="47"/>
      <c r="BL27" s="47"/>
    </row>
    <row r="28" spans="1:64" s="43" customFormat="1" ht="30" customHeight="1" thickBot="1" x14ac:dyDescent="0.2">
      <c r="A28" s="13"/>
      <c r="B28" s="99" t="s">
        <v>43</v>
      </c>
      <c r="C28" s="69" t="s">
        <v>51</v>
      </c>
      <c r="D28" s="45">
        <v>1</v>
      </c>
      <c r="E28" s="70">
        <f>F27</f>
        <v>45980</v>
      </c>
      <c r="F28" s="70">
        <f>E28</f>
        <v>45980</v>
      </c>
      <c r="G28" s="17"/>
      <c r="H28" s="5">
        <f t="shared" si="5"/>
        <v>1</v>
      </c>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108"/>
      <c r="BC28" s="47"/>
      <c r="BD28" s="47"/>
      <c r="BE28" s="47"/>
      <c r="BF28" s="47"/>
      <c r="BG28" s="47"/>
      <c r="BH28" s="47"/>
      <c r="BI28" s="47"/>
      <c r="BJ28" s="47"/>
      <c r="BK28" s="47"/>
      <c r="BL28" s="47"/>
    </row>
    <row r="29" spans="1:64" s="43" customFormat="1" ht="30" customHeight="1" thickBot="1" x14ac:dyDescent="0.2">
      <c r="A29" s="13"/>
      <c r="B29" s="100"/>
      <c r="C29" s="71"/>
      <c r="D29" s="72"/>
      <c r="E29" s="73"/>
      <c r="F29" s="73"/>
      <c r="G29" s="17"/>
      <c r="H29" s="5" t="str">
        <f t="shared" si="5"/>
        <v/>
      </c>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107"/>
      <c r="BC29" s="42"/>
      <c r="BD29" s="42"/>
      <c r="BE29" s="42"/>
      <c r="BF29" s="42"/>
      <c r="BG29" s="42"/>
      <c r="BH29" s="42"/>
      <c r="BI29" s="42"/>
      <c r="BJ29" s="42"/>
      <c r="BK29" s="42"/>
      <c r="BL29" s="42"/>
    </row>
    <row r="30" spans="1:64" s="43" customFormat="1" ht="30" customHeight="1" thickBot="1" x14ac:dyDescent="0.2">
      <c r="A30" s="14"/>
      <c r="B30" s="101" t="s">
        <v>0</v>
      </c>
      <c r="C30" s="74"/>
      <c r="D30" s="75"/>
      <c r="E30" s="76"/>
      <c r="F30" s="77"/>
      <c r="G30" s="17"/>
      <c r="H30" s="6" t="str">
        <f t="shared" si="5"/>
        <v/>
      </c>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109"/>
      <c r="BC30" s="78"/>
      <c r="BD30" s="78"/>
      <c r="BE30" s="78"/>
      <c r="BF30" s="78"/>
      <c r="BG30" s="78"/>
      <c r="BH30" s="78"/>
      <c r="BI30" s="78"/>
      <c r="BJ30" s="78"/>
      <c r="BK30" s="78"/>
      <c r="BL30" s="78"/>
    </row>
    <row r="31" spans="1:64" ht="30" customHeight="1" x14ac:dyDescent="0.15">
      <c r="G31" s="3"/>
    </row>
    <row r="32" spans="1:64" ht="30" customHeight="1" x14ac:dyDescent="0.15">
      <c r="C32" s="16"/>
      <c r="F32" s="15"/>
    </row>
    <row r="33" spans="3:3" ht="30" customHeight="1" x14ac:dyDescent="0.15">
      <c r="C33"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8">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6:BL28">
    <cfRule type="expression" dxfId="1" priority="36">
      <formula>AND(task_start&lt;=I$5,ROUNDDOWN((task_end-task_start+1)*task_progress,0)+task_start-1&gt;=I$5)</formula>
    </cfRule>
    <cfRule type="expression" dxfId="0" priority="37" stopIfTrue="1">
      <formula>AND(task_end&gt;=I$5,task_start&lt;J$5)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0 F1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7" customWidth="1"/>
    <col min="2" max="16384" width="9" style="1"/>
  </cols>
  <sheetData>
    <row r="1" spans="1:2" ht="46.5" customHeight="1" x14ac:dyDescent="0.15"/>
    <row r="2" spans="1:2" s="9" customFormat="1" ht="16" x14ac:dyDescent="0.15">
      <c r="A2" s="81" t="s">
        <v>8</v>
      </c>
      <c r="B2" s="8"/>
    </row>
    <row r="3" spans="1:2" s="11" customFormat="1" ht="27" customHeight="1" x14ac:dyDescent="0.15">
      <c r="A3" s="82"/>
      <c r="B3" s="12"/>
    </row>
    <row r="4" spans="1:2" s="10" customFormat="1" ht="31" x14ac:dyDescent="0.45">
      <c r="A4" s="83" t="s">
        <v>7</v>
      </c>
    </row>
    <row r="5" spans="1:2" ht="74.25" customHeight="1" x14ac:dyDescent="0.15">
      <c r="A5" s="84" t="s">
        <v>15</v>
      </c>
    </row>
    <row r="6" spans="1:2" ht="26.25" customHeight="1" x14ac:dyDescent="0.15">
      <c r="A6" s="83" t="s">
        <v>18</v>
      </c>
    </row>
    <row r="7" spans="1:2" s="7" customFormat="1" ht="205" customHeight="1" x14ac:dyDescent="0.15">
      <c r="A7" s="85" t="s">
        <v>17</v>
      </c>
    </row>
    <row r="8" spans="1:2" s="10" customFormat="1" ht="31" x14ac:dyDescent="0.45">
      <c r="A8" s="83" t="s">
        <v>9</v>
      </c>
    </row>
    <row r="9" spans="1:2" ht="60" x14ac:dyDescent="0.15">
      <c r="A9" s="84" t="s">
        <v>16</v>
      </c>
    </row>
    <row r="10" spans="1:2" s="7" customFormat="1" ht="28" customHeight="1" x14ac:dyDescent="0.15">
      <c r="A10" s="86" t="s">
        <v>14</v>
      </c>
    </row>
    <row r="11" spans="1:2" s="10" customFormat="1" ht="31" x14ac:dyDescent="0.45">
      <c r="A11" s="83" t="s">
        <v>6</v>
      </c>
    </row>
    <row r="12" spans="1:2" ht="30" x14ac:dyDescent="0.15">
      <c r="A12" s="84" t="s">
        <v>13</v>
      </c>
    </row>
    <row r="13" spans="1:2" s="7" customFormat="1" ht="28" customHeight="1" x14ac:dyDescent="0.15">
      <c r="A13" s="86" t="s">
        <v>2</v>
      </c>
    </row>
    <row r="14" spans="1:2" s="10" customFormat="1" ht="31" x14ac:dyDescent="0.45">
      <c r="A14" s="83" t="s">
        <v>10</v>
      </c>
    </row>
    <row r="15" spans="1:2" ht="75" customHeight="1" x14ac:dyDescent="0.15">
      <c r="A15" s="84" t="s">
        <v>11</v>
      </c>
    </row>
    <row r="16" spans="1:2" ht="75" x14ac:dyDescent="0.15">
      <c r="A16" s="84" t="s">
        <v>12</v>
      </c>
    </row>
    <row r="17" spans="1:1" x14ac:dyDescent="0.15">
      <c r="A17" s="87"/>
    </row>
    <row r="18" spans="1:1" x14ac:dyDescent="0.15">
      <c r="A18" s="87"/>
    </row>
    <row r="19" spans="1:1" x14ac:dyDescent="0.15">
      <c r="A19" s="87"/>
    </row>
    <row r="20" spans="1:1" x14ac:dyDescent="0.15">
      <c r="A20" s="87"/>
    </row>
    <row r="21" spans="1:1" x14ac:dyDescent="0.15">
      <c r="A21" s="87"/>
    </row>
    <row r="22" spans="1:1" x14ac:dyDescent="0.15">
      <c r="A22" s="87"/>
    </row>
    <row r="23" spans="1:1" x14ac:dyDescent="0.15">
      <c r="A23" s="87"/>
    </row>
    <row r="24" spans="1:1" x14ac:dyDescent="0.15">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dc:description/>
  <cp:lastModifiedBy>Matias Lander</cp:lastModifiedBy>
  <dcterms:created xsi:type="dcterms:W3CDTF">2022-03-11T22:41:12Z</dcterms:created>
  <dcterms:modified xsi:type="dcterms:W3CDTF">2025-11-19T23:39:35Z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